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zhansaya/Downloads/"/>
    </mc:Choice>
  </mc:AlternateContent>
  <xr:revisionPtr revIDLastSave="0" documentId="8_{5217D6B9-DE5B-1A4B-B664-F0C0F201EA65}" xr6:coauthVersionLast="47" xr6:coauthVersionMax="47" xr10:uidLastSave="{00000000-0000-0000-0000-000000000000}"/>
  <bookViews>
    <workbookView xWindow="380" yWindow="520" windowWidth="28040" windowHeight="16940" activeTab="2" xr2:uid="{209C4BBD-7636-214C-A23A-737B7C8923F3}"/>
  </bookViews>
  <sheets>
    <sheet name="FINAL" sheetId="3" r:id="rId1"/>
    <sheet name="Products per plan" sheetId="5" r:id="rId2"/>
    <sheet name="Product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" i="3" l="1"/>
  <c r="P12" i="3"/>
  <c r="R7" i="3"/>
  <c r="Q7" i="3"/>
  <c r="P7" i="3"/>
  <c r="M7" i="3"/>
  <c r="S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tc={AB81B743-83C7-594C-B2D8-A98A617A711E}</author>
  </authors>
  <commentList>
    <comment ref="J2" authorId="0" shapeId="0" xr:uid="{AB81B743-83C7-594C-B2D8-A98A617A711E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 of actively used technologies for its website. (Include  Mobile Non Scaleable Content, nginx, IPv6 and etc.)</t>
      </text>
    </comment>
  </commentList>
</comments>
</file>

<file path=xl/sharedStrings.xml><?xml version="1.0" encoding="utf-8"?>
<sst xmlns="http://schemas.openxmlformats.org/spreadsheetml/2006/main" count="238" uniqueCount="148">
  <si>
    <t>Company Name</t>
  </si>
  <si>
    <t>Products/Services</t>
  </si>
  <si>
    <t>Pricing</t>
  </si>
  <si>
    <t>Positioning</t>
  </si>
  <si>
    <t>Monthly Web Visits</t>
  </si>
  <si>
    <t>IT Spend</t>
  </si>
  <si>
    <t>Change in web visits</t>
  </si>
  <si>
    <t>Active Website Tech Count</t>
  </si>
  <si>
    <t>Turnover</t>
  </si>
  <si>
    <t>Profit for the Financial Year</t>
  </si>
  <si>
    <t>EBITDA Margin</t>
  </si>
  <si>
    <t>SparkReceipt</t>
  </si>
  <si>
    <t>Pro</t>
  </si>
  <si>
    <t>AI Pre-Accounting &amp; Expense Tracking Tool</t>
  </si>
  <si>
    <t>Change</t>
  </si>
  <si>
    <t>Elite</t>
  </si>
  <si>
    <t>Xero</t>
  </si>
  <si>
    <t>Starter</t>
  </si>
  <si>
    <t xml:space="preserve">Full Accounting Software </t>
  </si>
  <si>
    <t>Standard</t>
  </si>
  <si>
    <t>Premium</t>
  </si>
  <si>
    <t>NoCFO</t>
  </si>
  <si>
    <t>Free</t>
  </si>
  <si>
    <t>Plus</t>
  </si>
  <si>
    <t>AI Automated Accounting Software</t>
  </si>
  <si>
    <t>Growth</t>
  </si>
  <si>
    <t>Add-ons</t>
  </si>
  <si>
    <t>Salary payments</t>
  </si>
  <si>
    <t>Sending and receiving invoices with e-invoicing</t>
  </si>
  <si>
    <t>Sending invoices with consumer e-invoicing</t>
  </si>
  <si>
    <t>Sending invoices on paper</t>
  </si>
  <si>
    <t>SparlReceipt</t>
  </si>
  <si>
    <t>Pro($6.58)</t>
  </si>
  <si>
    <t>Elite($9.08)</t>
  </si>
  <si>
    <t>Lite</t>
  </si>
  <si>
    <r>
      <rPr>
        <b/>
        <sz val="11"/>
        <color rgb="FF000000"/>
        <rFont val="Aptos Display"/>
      </rPr>
      <t xml:space="preserve">50 </t>
    </r>
    <r>
      <rPr>
        <sz val="11"/>
        <color rgb="FF000000"/>
        <rFont val="Aptos Display"/>
      </rPr>
      <t>Document Scans / mo</t>
    </r>
  </si>
  <si>
    <r>
      <rPr>
        <b/>
        <sz val="11"/>
        <color rgb="FF000000"/>
        <rFont val="Aptos Display"/>
      </rPr>
      <t xml:space="preserve">∞ </t>
    </r>
    <r>
      <rPr>
        <sz val="11"/>
        <color rgb="FF000000"/>
        <rFont val="Aptos Display"/>
      </rPr>
      <t>Document Scans / mo</t>
    </r>
  </si>
  <si>
    <r>
      <rPr>
        <b/>
        <sz val="12"/>
        <color rgb="FF000000"/>
        <rFont val="Aptos Narrow"/>
        <scheme val="minor"/>
      </rPr>
      <t>8</t>
    </r>
    <r>
      <rPr>
        <sz val="12"/>
        <color rgb="FF000000"/>
        <rFont val="Aptos Narrow"/>
        <scheme val="minor"/>
      </rPr>
      <t xml:space="preserve"> Unlimited accounting events</t>
    </r>
  </si>
  <si>
    <r>
      <rPr>
        <b/>
        <sz val="12"/>
        <color rgb="FF000000"/>
        <rFont val="Aptos Narrow"/>
        <scheme val="minor"/>
      </rPr>
      <t>80</t>
    </r>
    <r>
      <rPr>
        <sz val="12"/>
        <color rgb="FF000000"/>
        <rFont val="Aptos Narrow"/>
        <scheme val="minor"/>
      </rPr>
      <t xml:space="preserve"> Unlimited accounting events</t>
    </r>
  </si>
  <si>
    <r>
      <rPr>
        <b/>
        <sz val="12"/>
        <color rgb="FF000000"/>
        <rFont val="Aptos Narrow"/>
        <scheme val="minor"/>
      </rPr>
      <t>240</t>
    </r>
    <r>
      <rPr>
        <sz val="12"/>
        <color rgb="FF000000"/>
        <rFont val="Aptos Narrow"/>
        <scheme val="minor"/>
      </rPr>
      <t xml:space="preserve"> Unlimited accounting events</t>
    </r>
  </si>
  <si>
    <t>Send 20 invoices and quotes</t>
  </si>
  <si>
    <t>Send invoices and quotes</t>
  </si>
  <si>
    <t>Send 5 invoices and quotes†</t>
  </si>
  <si>
    <r>
      <rPr>
        <b/>
        <sz val="11"/>
        <color rgb="FF000000"/>
        <rFont val="Aptos Display"/>
      </rPr>
      <t xml:space="preserve">100 </t>
    </r>
    <r>
      <rPr>
        <sz val="11"/>
        <color rgb="FF000000"/>
        <rFont val="Aptos Display"/>
      </rPr>
      <t>Consumable Credits / mo</t>
    </r>
  </si>
  <si>
    <r>
      <rPr>
        <b/>
        <sz val="11"/>
        <color rgb="FF000000"/>
        <rFont val="Aptos Display"/>
      </rPr>
      <t xml:space="preserve">200 </t>
    </r>
    <r>
      <rPr>
        <sz val="11"/>
        <color rgb="FF000000"/>
        <rFont val="Aptos Display"/>
      </rPr>
      <t>Consumable Credits / mo</t>
    </r>
  </si>
  <si>
    <t>All company forms supported: Tmi, Ay, Ky, Oy, Osuuskunta, Yhdistys</t>
  </si>
  <si>
    <t>Accept online invoice payments^</t>
  </si>
  <si>
    <r>
      <rPr>
        <b/>
        <sz val="11"/>
        <color rgb="FF000000"/>
        <rFont val="Aptos Display"/>
      </rPr>
      <t xml:space="preserve">20 </t>
    </r>
    <r>
      <rPr>
        <sz val="11"/>
        <color rgb="FF000000"/>
        <rFont val="Aptos Display"/>
      </rPr>
      <t>Spark Messages / mo</t>
    </r>
  </si>
  <si>
    <r>
      <rPr>
        <b/>
        <sz val="11"/>
        <color rgb="FF000000"/>
        <rFont val="Aptos Display"/>
      </rPr>
      <t xml:space="preserve">100 </t>
    </r>
    <r>
      <rPr>
        <sz val="11"/>
        <color rgb="FF000000"/>
        <rFont val="Aptos Display"/>
      </rPr>
      <t>Spark Messages / mo</t>
    </r>
  </si>
  <si>
    <t>E-archive for documents</t>
  </si>
  <si>
    <t>Enter 5 bills</t>
  </si>
  <si>
    <t>Enter bills</t>
  </si>
  <si>
    <t>Reconcile bank transactions</t>
  </si>
  <si>
    <t>Multiple Users (pay per seat)</t>
  </si>
  <si>
    <t>Account-picker AI Agent</t>
  </si>
  <si>
    <t>Accounting AI creating entry-suggestions</t>
  </si>
  <si>
    <t>Capture bills and receipts with Hubdoc</t>
  </si>
  <si>
    <t>Mass Upload Documents</t>
  </si>
  <si>
    <t>Accounting, Tax, &amp; Law AI Agent</t>
  </si>
  <si>
    <t>View real-time reports</t>
  </si>
  <si>
    <t>Unlimited Linked Sub-Accounts</t>
  </si>
  <si>
    <t>Receipt/invoicing matching with automatically to accounting documents</t>
  </si>
  <si>
    <t>Automatic Email Receipt Fetching</t>
  </si>
  <si>
    <t>Forecast cash flow</t>
  </si>
  <si>
    <t>Line-item Categorization for Expenses</t>
  </si>
  <si>
    <t>Double-entry bookkeeping automatically as easy as one-time entry bookkeeping</t>
  </si>
  <si>
    <t>Visualize performance with graphs</t>
  </si>
  <si>
    <t>AI Automations</t>
  </si>
  <si>
    <t>Tags/cost center reporting</t>
  </si>
  <si>
    <t>Bulk reconcile transactions</t>
  </si>
  <si>
    <t>Value-Added Tax (VAT) reporting</t>
  </si>
  <si>
    <t>Tailored financial health scorecards</t>
  </si>
  <si>
    <t>Financial Reports (Journal, General Ledger, Income Statement, Balance Sheet, Balance Sheet Breakdown)</t>
  </si>
  <si>
    <t>Customize performance dashboards</t>
  </si>
  <si>
    <t>Financial Statement tool</t>
  </si>
  <si>
    <t>Analyze KPIs and ratios</t>
  </si>
  <si>
    <t>Sending invoices with email</t>
  </si>
  <si>
    <t>Use multiple currencies</t>
  </si>
  <si>
    <t>Paying invoices and taxes from NoCFO</t>
  </si>
  <si>
    <t>Claim expenses (Optional)</t>
  </si>
  <si>
    <t>Scanning receipts and automatically fetch information</t>
  </si>
  <si>
    <t>Track projects (Optinal)</t>
  </si>
  <si>
    <t>Receipts and invoices matched automatically to bank transactions</t>
  </si>
  <si>
    <t>Analytics Plus (Optinal)</t>
  </si>
  <si>
    <t>Free Debt Collection for sales invoices</t>
  </si>
  <si>
    <t>Invoice financing for sales invoices</t>
  </si>
  <si>
    <t>1 user</t>
  </si>
  <si>
    <t>Unlimited Number of users</t>
  </si>
  <si>
    <t>NOCFO Flex and Business accounts seamlessly in the app</t>
  </si>
  <si>
    <t>Bank Integrations to over 2500 banks in the EU free of charge (from us and from the bank)</t>
  </si>
  <si>
    <t>Audit log</t>
  </si>
  <si>
    <t>Advanced permissions</t>
  </si>
  <si>
    <t>Thorough starting meeting and transfering accounting to NOCFO</t>
  </si>
  <si>
    <t>Unlimited expert support in chat</t>
  </si>
  <si>
    <t>Unlimited AI-chat support</t>
  </si>
  <si>
    <t>Feature Category</t>
  </si>
  <si>
    <t>Receipt &amp; Document Capture</t>
  </si>
  <si>
    <t>Receipt scanner (OCR), email receipt capture, credit card receipt matching, document organizer</t>
  </si>
  <si>
    <t>Scan receipts, e-archive for documents, receipt &amp; invoice matching</t>
  </si>
  <si>
    <t>Online file storage, manage documents, attach receipts</t>
  </si>
  <si>
    <t>Data Extraction &amp; Categorization</t>
  </si>
  <si>
    <t>AI extracts vendor, amount, date, tax, currency; auto categorization</t>
  </si>
  <si>
    <t>AI creates accounting entries, categorizes transactions, account-picker AI</t>
  </si>
  <si>
    <t>Bank reconciliation auto-categorization</t>
  </si>
  <si>
    <t>Expense &amp; Income Tracking</t>
  </si>
  <si>
    <t>Expense tracker, income tracker, receipt-based tracking</t>
  </si>
  <si>
    <t>Tracks all transactions via accounting system</t>
  </si>
  <si>
    <t>Tracks expenses, income, and cash flow</t>
  </si>
  <si>
    <t>Bank &amp; Transaction Handling</t>
  </si>
  <si>
    <t>Bank statement extractor (PDF/CSV/Excel), matches receipts to transactions</t>
  </si>
  <si>
    <t>Bank integrations (2500+), automatic transaction import, matching receipts to bank transactions</t>
  </si>
  <si>
    <t>Bank feeds, automatic reconciliation</t>
  </si>
  <si>
    <t>Pre-Accounting / Bookkeeping</t>
  </si>
  <si>
    <t>Pre-accounting automation (data collection, preparation)</t>
  </si>
  <si>
    <t>Automated double-entry bookkeeping</t>
  </si>
  <si>
    <t>Full bookkeeping system (general ledger, chart of accounts)</t>
  </si>
  <si>
    <t>Invoicing &amp; Payments</t>
  </si>
  <si>
    <t>(Not included directly)</t>
  </si>
  <si>
    <t>Send invoices (email, e-invoicing, paper), receive invoices, pay invoices &amp; taxes</t>
  </si>
  <si>
    <t>Create invoices, track payments, accounts receivable/payable</t>
  </si>
  <si>
    <t>Tax &amp; Compliance</t>
  </si>
  <si>
    <t>Tax-ready expense reports, tax categorization</t>
  </si>
  <si>
    <t>VAT reporting, tax handling, compliance features</t>
  </si>
  <si>
    <t>Sales tax calculation, reporting</t>
  </si>
  <si>
    <t>Financial Reports &amp; Analytics</t>
  </si>
  <si>
    <t>Expense reports, bar graphs, exportable reports</t>
  </si>
  <si>
    <t>Financial reports (P&amp;L, balance sheet, cash flow), financial statement tools</t>
  </si>
  <si>
    <t>Reporting, analytics, dashboards, cash flow forecasting</t>
  </si>
  <si>
    <t>Automation &amp; AI</t>
  </si>
  <si>
    <t>AI receipt scanning, AI categorization, AI extraction</t>
  </si>
  <si>
    <t>AI bookkeeping, AI suggestions, AI agents (accounting, tax, law)</t>
  </si>
  <si>
    <t>Automation in reconciliation, workflows</t>
  </si>
  <si>
    <t>Integrations &amp; Ecosystem</t>
  </si>
  <si>
    <t>Integration with tools (e.g. QuickBooks), email integration</t>
  </si>
  <si>
    <t>Bank integrations (2500+), internal system connections</t>
  </si>
  <si>
    <t>Broad integration ecosystem (apps, banking, tools)</t>
  </si>
  <si>
    <t>Collaboration &amp; Users</t>
  </si>
  <si>
    <t>Multi-user support, share with accountant</t>
  </si>
  <si>
    <t>Multi-user, permissions, audit log, support</t>
  </si>
  <si>
    <t>Multi-user access, accountant collaboration, role-based permissions</t>
  </si>
  <si>
    <t>Additional Business Features</t>
  </si>
  <si>
    <t>Mileage tracking (coming soon), search, data exports</t>
  </si>
  <si>
    <t>Payroll, debt collection, invoice financing, cost centers</t>
  </si>
  <si>
    <t>Payroll, inventory, projects, quotes, purchase orders, fixed assets</t>
  </si>
  <si>
    <t>Data Export &amp; Access</t>
  </si>
  <si>
    <t>Export (PDF, Excel, CSV, ZIP), cloud access</t>
  </si>
  <si>
    <t>Financial data access within system</t>
  </si>
  <si>
    <t>Cloud dashboard, reports, file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</si>
</sst>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£&quot;* #,##0.00_);_(&quot;£&quot;* \(#,##0.00\);_(&quot;£&quot;* &quot;-&quot;??_);_(@_)"/>
    <numFmt numFmtId="164" formatCode="_([$€-2]\ * #,##0.00_);_([$€-2]\ * \(#,##0.00\);_([$€-2]\ * &quot;-&quot;??_);_(@_)"/>
    <numFmt numFmtId="165" formatCode="_([$$-409]* #,##0.00_);_([$$-409]* \(#,##0.00\);_([$$-409]* &quot;-&quot;??_);_(@_)"/>
  </numFmts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1"/>
      <color rgb="FF000000"/>
      <name val="Aptos Display"/>
      <scheme val="major"/>
    </font>
    <font>
      <b/>
      <sz val="11"/>
      <color rgb="FF000000"/>
      <name val="Aptos Display"/>
    </font>
    <font>
      <sz val="11"/>
      <color rgb="FF000000"/>
      <name val="Aptos Display"/>
    </font>
    <font>
      <sz val="11"/>
      <color rgb="FFFFFFFF"/>
      <name val="Inter"/>
      <family val="2"/>
      <charset val="1"/>
    </font>
    <font>
      <sz val="12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28304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5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top" wrapText="1"/>
    </xf>
    <xf numFmtId="1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right"/>
    </xf>
    <xf numFmtId="10" fontId="5" fillId="2" borderId="0" xfId="0" applyNumberFormat="1" applyFont="1" applyFill="1" applyAlignment="1">
      <alignment horizontal="right"/>
    </xf>
    <xf numFmtId="164" fontId="5" fillId="2" borderId="0" xfId="1" applyNumberFormat="1" applyFont="1" applyFill="1" applyBorder="1"/>
    <xf numFmtId="164" fontId="5" fillId="2" borderId="0" xfId="0" applyNumberFormat="1" applyFont="1" applyFill="1"/>
    <xf numFmtId="10" fontId="5" fillId="2" borderId="0" xfId="0" applyNumberFormat="1" applyFont="1" applyFill="1"/>
    <xf numFmtId="165" fontId="5" fillId="2" borderId="0" xfId="0" applyNumberFormat="1" applyFont="1" applyFill="1" applyAlignment="1">
      <alignment vertical="top" wrapText="1"/>
    </xf>
    <xf numFmtId="165" fontId="5" fillId="2" borderId="0" xfId="0" applyNumberFormat="1" applyFont="1" applyFill="1" applyAlignment="1">
      <alignment horizontal="left" vertical="top" wrapText="1"/>
    </xf>
    <xf numFmtId="10" fontId="5" fillId="2" borderId="0" xfId="2" applyNumberFormat="1" applyFont="1" applyFill="1" applyBorder="1"/>
    <xf numFmtId="10" fontId="5" fillId="2" borderId="2" xfId="2" applyNumberFormat="1" applyFont="1" applyFill="1" applyBorder="1"/>
    <xf numFmtId="10" fontId="5" fillId="2" borderId="2" xfId="0" applyNumberFormat="1" applyFont="1" applyFill="1" applyBorder="1"/>
    <xf numFmtId="9" fontId="5" fillId="2" borderId="0" xfId="0" applyNumberFormat="1" applyFont="1" applyFill="1"/>
    <xf numFmtId="164" fontId="5" fillId="2" borderId="0" xfId="0" applyNumberFormat="1" applyFont="1" applyFill="1" applyAlignment="1">
      <alignment horizontal="left" vertical="top" wrapText="1"/>
    </xf>
    <xf numFmtId="164" fontId="5" fillId="2" borderId="0" xfId="0" applyNumberFormat="1" applyFont="1" applyFill="1" applyAlignment="1">
      <alignment vertical="top" wrapText="1"/>
    </xf>
    <xf numFmtId="0" fontId="2" fillId="0" borderId="0" xfId="0" applyFont="1" applyAlignment="1">
      <alignment wrapText="1"/>
    </xf>
    <xf numFmtId="0" fontId="2" fillId="3" borderId="0" xfId="0" applyFont="1" applyFill="1" applyAlignment="1">
      <alignment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wrapText="1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0" xfId="0" applyFont="1" applyAlignment="1">
      <alignment wrapText="1"/>
    </xf>
    <xf numFmtId="0" fontId="6" fillId="0" borderId="4" xfId="0" applyFont="1" applyBorder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 wrapText="1"/>
    </xf>
    <xf numFmtId="0" fontId="9" fillId="0" borderId="0" xfId="0" applyFont="1" applyAlignment="1">
      <alignment horizontal="left" wrapText="1"/>
    </xf>
    <xf numFmtId="0" fontId="0" fillId="4" borderId="0" xfId="0" applyFill="1" applyAlignment="1">
      <alignment horizontal="center"/>
    </xf>
    <xf numFmtId="0" fontId="10" fillId="0" borderId="0" xfId="0" applyFont="1" applyAlignment="1">
      <alignment horizontal="left" vertical="top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0" fillId="5" borderId="0" xfId="0" applyFill="1"/>
    <xf numFmtId="0" fontId="3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5" fillId="2" borderId="0" xfId="0" applyNumberFormat="1" applyFont="1" applyFill="1" applyAlignment="1">
      <alignment horizontal="right"/>
    </xf>
    <xf numFmtId="0" fontId="5" fillId="2" borderId="0" xfId="0" applyFont="1" applyFill="1" applyAlignment="1">
      <alignment horizontal="left" vertical="top" wrapText="1"/>
    </xf>
    <xf numFmtId="1" fontId="5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top" wrapText="1"/>
    </xf>
    <xf numFmtId="0" fontId="0" fillId="2" borderId="0" xfId="0" applyFill="1" applyAlignment="1">
      <alignment horizontal="center" vertical="top" wrapText="1"/>
    </xf>
    <xf numFmtId="0" fontId="5" fillId="2" borderId="0" xfId="0" applyFont="1" applyFill="1" applyAlignment="1">
      <alignment horizontal="center" vertical="center" wrapText="1"/>
    </xf>
    <xf numFmtId="10" fontId="5" fillId="2" borderId="0" xfId="0" applyNumberFormat="1" applyFont="1" applyFill="1" applyAlignment="1">
      <alignment horizontal="right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gafarova Fairuza" id="{50A60EB9-47EB-3840-A7B9-3B259DB816A6}" userId="S::fairuza.jagafarova@aalto.fi::d8f946a5-5a96-47e6-bf9d-ba3f4c64fb7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4-14T12:53:46.85" personId="{50A60EB9-47EB-3840-A7B9-3B259DB816A6}" id="{AB81B743-83C7-594C-B2D8-A98A617A711E}">
    <text>Number of actively used technologies for its website. (Include  Mobile Non Scaleable Content, nginx, IPv6 and etc.)</text>
    <extLst>
      <x:ext xmlns:xltc2="http://schemas.microsoft.com/office/spreadsheetml/2020/threadedcomments2" uri="{F7C98A9C-CBB3-438F-8F68-D28B6AF4A901}">
        <xltc2:checksum>1875105245</xltc2:checksum>
        <xltc2:hyperlink startIndex="64" length="28" url="https://www.crunchbase.com/builtwith_technology/1dc07647-f8aa-40ce-9042-d5927c7045f2"/>
        <xltc2:hyperlink startIndex="94" length="5" url="https://www.crunchbase.com/builtwith_technology/406526b5-ad50-41bc-8a08-e53842442565"/>
        <xltc2:hyperlink startIndex="101" length="4" url="https://www.crunchbase.com/builtwith_technology/cf3e732d-2ada-4f4e-94af-faa2edb426d5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DC84-A7F5-4470-8BB1-343FAC5C1EA0}">
  <dimension ref="C2:S17"/>
  <sheetViews>
    <sheetView topLeftCell="C1" zoomScale="156" workbookViewId="0">
      <selection activeCell="H15" sqref="H15"/>
    </sheetView>
  </sheetViews>
  <sheetFormatPr baseColWidth="10" defaultColWidth="10.83203125" defaultRowHeight="16"/>
  <cols>
    <col min="1" max="2" width="10.83203125" style="5"/>
    <col min="3" max="3" width="18" style="5" customWidth="1"/>
    <col min="4" max="4" width="32.33203125" style="5" customWidth="1"/>
    <col min="5" max="5" width="23.6640625" style="5" customWidth="1"/>
    <col min="6" max="6" width="23.1640625" style="5" customWidth="1"/>
    <col min="7" max="7" width="17" style="5" bestFit="1" customWidth="1"/>
    <col min="8" max="8" width="16.1640625" style="5" customWidth="1"/>
    <col min="9" max="9" width="20" style="5" customWidth="1"/>
    <col min="10" max="10" width="25" style="5" customWidth="1"/>
    <col min="11" max="11" width="16.1640625" style="5" customWidth="1"/>
    <col min="12" max="12" width="18.5" style="5" customWidth="1"/>
    <col min="13" max="13" width="10.83203125" style="5"/>
    <col min="14" max="14" width="16.6640625" style="5" customWidth="1"/>
    <col min="15" max="15" width="16.1640625" style="5" customWidth="1"/>
    <col min="16" max="16384" width="10.83203125" style="5"/>
  </cols>
  <sheetData>
    <row r="2" spans="3:19">
      <c r="C2" s="2" t="s">
        <v>0</v>
      </c>
      <c r="D2" s="2" t="s">
        <v>1</v>
      </c>
      <c r="E2" s="2" t="s">
        <v>2</v>
      </c>
      <c r="F2" s="2" t="s">
        <v>3</v>
      </c>
      <c r="G2" s="6" t="s">
        <v>4</v>
      </c>
      <c r="H2" s="6" t="s">
        <v>5</v>
      </c>
      <c r="I2" s="6" t="s">
        <v>6</v>
      </c>
      <c r="J2" s="6" t="s">
        <v>7</v>
      </c>
      <c r="K2" s="50" t="s">
        <v>8</v>
      </c>
      <c r="L2" s="50"/>
      <c r="M2" s="50"/>
      <c r="N2" s="50" t="s">
        <v>9</v>
      </c>
      <c r="O2" s="50"/>
      <c r="P2" s="50"/>
      <c r="Q2" s="50" t="s">
        <v>10</v>
      </c>
      <c r="R2" s="50"/>
      <c r="S2" s="50"/>
    </row>
    <row r="3" spans="3:19" ht="18" customHeight="1">
      <c r="C3" s="42" t="s">
        <v>11</v>
      </c>
      <c r="D3" s="10" t="s">
        <v>12</v>
      </c>
      <c r="E3" s="15">
        <v>6.58</v>
      </c>
      <c r="F3" s="51" t="s">
        <v>13</v>
      </c>
      <c r="G3" s="46">
        <v>46885</v>
      </c>
      <c r="H3" s="43"/>
      <c r="I3" s="54">
        <v>0.29010000000000002</v>
      </c>
      <c r="J3" s="46">
        <v>16</v>
      </c>
      <c r="K3" s="4">
        <v>2023</v>
      </c>
      <c r="L3" s="4">
        <v>2024</v>
      </c>
      <c r="M3" s="4" t="s">
        <v>14</v>
      </c>
      <c r="N3" s="3">
        <v>2023</v>
      </c>
      <c r="O3" s="3">
        <v>2024</v>
      </c>
      <c r="P3" s="3" t="s">
        <v>14</v>
      </c>
      <c r="Q3" s="3">
        <v>2023</v>
      </c>
      <c r="R3" s="3">
        <v>2024</v>
      </c>
      <c r="S3" s="3" t="s">
        <v>14</v>
      </c>
    </row>
    <row r="4" spans="3:19">
      <c r="C4" s="42"/>
      <c r="D4" s="10" t="s">
        <v>15</v>
      </c>
      <c r="E4" s="15">
        <v>9.08</v>
      </c>
      <c r="F4" s="52"/>
      <c r="G4" s="46"/>
      <c r="H4" s="43"/>
      <c r="I4" s="54"/>
      <c r="J4" s="46"/>
      <c r="K4" s="12"/>
      <c r="L4" s="12">
        <v>70000</v>
      </c>
      <c r="N4" s="13"/>
      <c r="O4" s="13">
        <v>2000</v>
      </c>
      <c r="R4" s="14">
        <v>3.7999999999999999E-2</v>
      </c>
    </row>
    <row r="5" spans="3:19">
      <c r="C5" s="7"/>
      <c r="D5" s="10"/>
      <c r="E5" s="8"/>
      <c r="F5" s="8"/>
      <c r="G5" s="9"/>
      <c r="H5" s="10"/>
      <c r="I5" s="11"/>
      <c r="J5" s="9"/>
      <c r="K5" s="12"/>
      <c r="L5" s="12"/>
      <c r="N5" s="13"/>
      <c r="O5" s="13"/>
      <c r="R5" s="14"/>
    </row>
    <row r="6" spans="3:19">
      <c r="C6" s="47" t="s">
        <v>16</v>
      </c>
      <c r="D6" s="10" t="s">
        <v>17</v>
      </c>
      <c r="E6" s="15">
        <v>5.8</v>
      </c>
      <c r="F6" s="53" t="s">
        <v>18</v>
      </c>
      <c r="G6" s="46">
        <v>31700741</v>
      </c>
      <c r="H6" s="43"/>
      <c r="I6" s="54">
        <v>0.12139999999999999</v>
      </c>
      <c r="J6" s="46">
        <v>115</v>
      </c>
      <c r="K6" s="12"/>
      <c r="L6" s="12"/>
      <c r="N6" s="13"/>
      <c r="O6" s="13"/>
    </row>
    <row r="7" spans="3:19">
      <c r="C7" s="47"/>
      <c r="D7" s="10" t="s">
        <v>19</v>
      </c>
      <c r="E7" s="16">
        <v>10</v>
      </c>
      <c r="F7" s="53"/>
      <c r="G7" s="46"/>
      <c r="H7" s="43"/>
      <c r="I7" s="54"/>
      <c r="J7" s="46"/>
      <c r="K7" s="12">
        <v>1310384.72</v>
      </c>
      <c r="L7" s="12">
        <v>1572119.07</v>
      </c>
      <c r="M7" s="17">
        <f>(L7-K7)/K7</f>
        <v>0.19973855464370807</v>
      </c>
      <c r="N7" s="13">
        <v>-106273.52</v>
      </c>
      <c r="O7" s="13">
        <v>160205.49</v>
      </c>
      <c r="P7" s="18">
        <f>(O7-N7)/-N7</f>
        <v>2.5074826730120541</v>
      </c>
      <c r="Q7" s="17">
        <f>167895.72/1310384.72</f>
        <v>0.12812704348384038</v>
      </c>
      <c r="R7" s="14">
        <f>510979.73/1572119.07</f>
        <v>0.32502609996328075</v>
      </c>
      <c r="S7" s="19">
        <f>(R7-Q7)/Q7</f>
        <v>1.5367486139198525</v>
      </c>
    </row>
    <row r="8" spans="3:19">
      <c r="C8" s="47"/>
      <c r="D8" s="10" t="s">
        <v>20</v>
      </c>
      <c r="E8" s="16">
        <v>15</v>
      </c>
      <c r="F8" s="53"/>
      <c r="G8" s="9"/>
      <c r="H8" s="10"/>
      <c r="I8" s="11"/>
      <c r="J8" s="9"/>
      <c r="K8" s="12"/>
      <c r="L8" s="12"/>
      <c r="M8" s="17"/>
      <c r="N8" s="13"/>
      <c r="O8" s="13"/>
      <c r="P8" s="17"/>
      <c r="Q8" s="17"/>
      <c r="R8" s="14"/>
      <c r="S8" s="14"/>
    </row>
    <row r="9" spans="3:19">
      <c r="C9" s="7"/>
      <c r="D9" s="10"/>
      <c r="F9" s="8"/>
      <c r="G9" s="9"/>
      <c r="H9" s="10"/>
      <c r="I9" s="11"/>
      <c r="J9" s="9"/>
      <c r="K9" s="12"/>
      <c r="L9" s="12"/>
      <c r="M9" s="17"/>
      <c r="N9" s="13"/>
      <c r="O9" s="13"/>
      <c r="P9" s="17"/>
      <c r="Q9" s="17"/>
      <c r="R9" s="14"/>
      <c r="S9" s="14"/>
    </row>
    <row r="10" spans="3:19">
      <c r="C10" s="49" t="s">
        <v>21</v>
      </c>
      <c r="D10" s="10" t="s">
        <v>22</v>
      </c>
      <c r="E10" s="21">
        <v>0</v>
      </c>
      <c r="F10" s="8"/>
      <c r="G10" s="9"/>
      <c r="H10" s="10"/>
      <c r="I10" s="11"/>
      <c r="J10" s="9"/>
      <c r="K10" s="12"/>
      <c r="L10" s="12"/>
      <c r="M10" s="17"/>
      <c r="N10" s="13"/>
      <c r="O10" s="13"/>
      <c r="P10" s="17"/>
      <c r="Q10" s="17"/>
      <c r="R10" s="14"/>
      <c r="S10" s="14"/>
    </row>
    <row r="11" spans="3:19">
      <c r="C11" s="49"/>
      <c r="D11" s="10" t="s">
        <v>23</v>
      </c>
      <c r="E11" s="22">
        <v>24</v>
      </c>
      <c r="F11" s="45" t="s">
        <v>24</v>
      </c>
      <c r="G11" s="46">
        <v>3850</v>
      </c>
      <c r="H11" s="44">
        <v>159100</v>
      </c>
      <c r="I11" s="54">
        <v>-0.58169999999999999</v>
      </c>
      <c r="J11" s="46">
        <v>28</v>
      </c>
      <c r="K11" s="12"/>
      <c r="L11" s="12"/>
      <c r="N11" s="13"/>
      <c r="O11" s="13"/>
    </row>
    <row r="12" spans="3:19">
      <c r="C12" s="49"/>
      <c r="D12" s="10" t="s">
        <v>12</v>
      </c>
      <c r="E12" s="22">
        <v>48</v>
      </c>
      <c r="F12" s="45"/>
      <c r="G12" s="46"/>
      <c r="H12" s="44"/>
      <c r="I12" s="54"/>
      <c r="J12" s="46"/>
      <c r="K12" s="12">
        <v>16000</v>
      </c>
      <c r="L12" s="12">
        <v>61000</v>
      </c>
      <c r="M12" s="14">
        <v>2.8130000000000002</v>
      </c>
      <c r="N12" s="13">
        <v>3000</v>
      </c>
      <c r="O12" s="13">
        <v>-68000</v>
      </c>
      <c r="P12" s="18">
        <f>(O12-N12)/N12</f>
        <v>-23.666666666666668</v>
      </c>
      <c r="Q12" s="14">
        <v>0.19400000000000001</v>
      </c>
      <c r="R12" s="20">
        <v>-1.1000000000000001</v>
      </c>
      <c r="S12" s="19">
        <f>(R12-Q12)/Q12</f>
        <v>-6.6701030927835054</v>
      </c>
    </row>
    <row r="13" spans="3:19">
      <c r="C13" s="49"/>
      <c r="D13" s="10" t="s">
        <v>25</v>
      </c>
      <c r="G13" s="13"/>
    </row>
    <row r="14" spans="3:19" ht="17">
      <c r="C14" s="48" t="s">
        <v>26</v>
      </c>
      <c r="D14" s="26" t="s">
        <v>27</v>
      </c>
      <c r="E14" s="13">
        <v>14</v>
      </c>
    </row>
    <row r="15" spans="3:19" ht="34">
      <c r="C15" s="48"/>
      <c r="D15" s="26" t="s">
        <v>28</v>
      </c>
      <c r="E15" s="13">
        <v>0.7</v>
      </c>
    </row>
    <row r="16" spans="3:19" ht="34">
      <c r="C16" s="48"/>
      <c r="D16" s="26" t="s">
        <v>29</v>
      </c>
      <c r="E16" s="13">
        <v>0.7</v>
      </c>
      <c r="G16" s="25"/>
    </row>
    <row r="17" spans="3:5" ht="17">
      <c r="C17" s="48"/>
      <c r="D17" s="26" t="s">
        <v>30</v>
      </c>
      <c r="E17" s="13">
        <v>2.9</v>
      </c>
    </row>
  </sheetData>
  <mergeCells count="22">
    <mergeCell ref="C14:C17"/>
    <mergeCell ref="C10:C13"/>
    <mergeCell ref="K2:M2"/>
    <mergeCell ref="N2:P2"/>
    <mergeCell ref="Q2:S2"/>
    <mergeCell ref="F3:F4"/>
    <mergeCell ref="G3:G4"/>
    <mergeCell ref="G6:G7"/>
    <mergeCell ref="H3:H4"/>
    <mergeCell ref="F6:F8"/>
    <mergeCell ref="I3:I4"/>
    <mergeCell ref="I6:I7"/>
    <mergeCell ref="I11:I12"/>
    <mergeCell ref="J3:J4"/>
    <mergeCell ref="J6:J7"/>
    <mergeCell ref="J11:J12"/>
    <mergeCell ref="C3:C4"/>
    <mergeCell ref="H6:H7"/>
    <mergeCell ref="H11:H12"/>
    <mergeCell ref="F11:F12"/>
    <mergeCell ref="G11:G12"/>
    <mergeCell ref="C6:C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441F-D915-4A18-A280-3EA0E9FDFEE2}">
  <dimension ref="B2:J29"/>
  <sheetViews>
    <sheetView topLeftCell="C1" workbookViewId="0">
      <selection activeCell="H4" sqref="H4"/>
    </sheetView>
  </sheetViews>
  <sheetFormatPr baseColWidth="10" defaultColWidth="8.83203125" defaultRowHeight="16"/>
  <cols>
    <col min="1" max="1" width="21.1640625" customWidth="1"/>
    <col min="2" max="3" width="22.5" style="27" customWidth="1"/>
    <col min="4" max="4" width="28.6640625" style="32" customWidth="1"/>
    <col min="5" max="5" width="28.6640625" customWidth="1"/>
    <col min="6" max="6" width="28.6640625" style="1" customWidth="1"/>
    <col min="7" max="10" width="26.1640625" customWidth="1"/>
  </cols>
  <sheetData>
    <row r="2" spans="2:10">
      <c r="B2" s="55" t="s">
        <v>31</v>
      </c>
      <c r="C2" s="55"/>
      <c r="D2" s="56" t="s">
        <v>21</v>
      </c>
      <c r="E2" s="56"/>
      <c r="F2" s="56"/>
      <c r="G2" s="57" t="s">
        <v>16</v>
      </c>
      <c r="H2" s="57"/>
      <c r="I2" s="57"/>
      <c r="J2" s="57"/>
    </row>
    <row r="3" spans="2:10" ht="15" customHeight="1">
      <c r="B3" s="37" t="s">
        <v>32</v>
      </c>
      <c r="C3" s="37" t="s">
        <v>33</v>
      </c>
      <c r="D3" s="35" t="s">
        <v>22</v>
      </c>
      <c r="E3" s="34" t="s">
        <v>23</v>
      </c>
      <c r="F3" s="33" t="s">
        <v>12</v>
      </c>
      <c r="G3" s="41" t="s">
        <v>17</v>
      </c>
      <c r="H3" s="41" t="s">
        <v>19</v>
      </c>
      <c r="I3" s="41" t="s">
        <v>20</v>
      </c>
      <c r="J3" s="41" t="s">
        <v>34</v>
      </c>
    </row>
    <row r="4" spans="2:10" ht="15" customHeight="1">
      <c r="B4" s="28" t="s">
        <v>35</v>
      </c>
      <c r="C4" s="28" t="s">
        <v>36</v>
      </c>
      <c r="D4" s="38" t="s">
        <v>37</v>
      </c>
      <c r="E4" s="39" t="s">
        <v>38</v>
      </c>
      <c r="F4" s="40" t="s">
        <v>39</v>
      </c>
      <c r="G4" t="s">
        <v>40</v>
      </c>
      <c r="H4" t="s">
        <v>41</v>
      </c>
      <c r="I4" t="s">
        <v>41</v>
      </c>
      <c r="J4" t="s">
        <v>42</v>
      </c>
    </row>
    <row r="5" spans="2:10" ht="15" customHeight="1">
      <c r="B5" s="29" t="s">
        <v>43</v>
      </c>
      <c r="C5" s="29" t="s">
        <v>44</v>
      </c>
      <c r="D5" s="32" t="s">
        <v>45</v>
      </c>
      <c r="E5" t="s">
        <v>45</v>
      </c>
      <c r="F5" s="1" t="s">
        <v>45</v>
      </c>
      <c r="G5" t="s">
        <v>46</v>
      </c>
      <c r="H5" t="s">
        <v>46</v>
      </c>
      <c r="I5" t="s">
        <v>46</v>
      </c>
      <c r="J5" t="s">
        <v>46</v>
      </c>
    </row>
    <row r="6" spans="2:10" ht="15" customHeight="1">
      <c r="B6" s="29" t="s">
        <v>47</v>
      </c>
      <c r="C6" s="29" t="s">
        <v>48</v>
      </c>
      <c r="D6" s="32" t="s">
        <v>49</v>
      </c>
      <c r="E6" t="s">
        <v>49</v>
      </c>
      <c r="F6" s="1" t="s">
        <v>49</v>
      </c>
      <c r="G6" t="s">
        <v>50</v>
      </c>
      <c r="H6" t="s">
        <v>51</v>
      </c>
      <c r="I6" t="s">
        <v>51</v>
      </c>
      <c r="J6" t="s">
        <v>52</v>
      </c>
    </row>
    <row r="7" spans="2:10" ht="15" customHeight="1">
      <c r="B7" s="30" t="s">
        <v>53</v>
      </c>
      <c r="C7" s="27" t="s">
        <v>53</v>
      </c>
      <c r="D7" s="32" t="s">
        <v>54</v>
      </c>
      <c r="E7" t="s">
        <v>55</v>
      </c>
      <c r="F7" s="1" t="s">
        <v>55</v>
      </c>
      <c r="G7" t="s">
        <v>52</v>
      </c>
      <c r="H7" t="s">
        <v>52</v>
      </c>
      <c r="I7" t="s">
        <v>52</v>
      </c>
      <c r="J7" t="s">
        <v>56</v>
      </c>
    </row>
    <row r="8" spans="2:10" ht="15" customHeight="1">
      <c r="B8" s="31" t="s">
        <v>57</v>
      </c>
      <c r="C8" s="27" t="s">
        <v>57</v>
      </c>
      <c r="D8" s="32" t="s">
        <v>58</v>
      </c>
      <c r="E8" t="s">
        <v>54</v>
      </c>
      <c r="F8" s="1" t="s">
        <v>54</v>
      </c>
      <c r="G8" t="s">
        <v>56</v>
      </c>
      <c r="H8" t="s">
        <v>56</v>
      </c>
      <c r="I8" t="s">
        <v>56</v>
      </c>
      <c r="J8" t="s">
        <v>59</v>
      </c>
    </row>
    <row r="9" spans="2:10" ht="15" customHeight="1">
      <c r="B9" s="31" t="s">
        <v>60</v>
      </c>
      <c r="C9" s="27" t="s">
        <v>60</v>
      </c>
      <c r="D9" s="32" t="s">
        <v>61</v>
      </c>
      <c r="E9" t="s">
        <v>58</v>
      </c>
      <c r="F9" s="1" t="s">
        <v>58</v>
      </c>
      <c r="G9" t="s">
        <v>59</v>
      </c>
      <c r="H9" t="s">
        <v>59</v>
      </c>
      <c r="I9" t="s">
        <v>59</v>
      </c>
    </row>
    <row r="10" spans="2:10" ht="51">
      <c r="C10" s="27" t="s">
        <v>62</v>
      </c>
      <c r="D10" s="32" t="s">
        <v>61</v>
      </c>
      <c r="E10" t="s">
        <v>61</v>
      </c>
      <c r="F10" s="1" t="s">
        <v>61</v>
      </c>
      <c r="G10" t="s">
        <v>63</v>
      </c>
      <c r="H10" t="s">
        <v>63</v>
      </c>
      <c r="I10" t="s">
        <v>63</v>
      </c>
    </row>
    <row r="11" spans="2:10" ht="51">
      <c r="C11" s="27" t="s">
        <v>64</v>
      </c>
      <c r="D11" s="32" t="s">
        <v>65</v>
      </c>
      <c r="E11" t="s">
        <v>65</v>
      </c>
      <c r="F11" s="1" t="s">
        <v>65</v>
      </c>
      <c r="G11" t="s">
        <v>66</v>
      </c>
      <c r="H11" t="s">
        <v>66</v>
      </c>
      <c r="I11" t="s">
        <v>66</v>
      </c>
    </row>
    <row r="12" spans="2:10" ht="17">
      <c r="C12" s="27" t="s">
        <v>67</v>
      </c>
      <c r="D12" s="32" t="s">
        <v>68</v>
      </c>
      <c r="E12" t="s">
        <v>68</v>
      </c>
      <c r="F12" s="1" t="s">
        <v>68</v>
      </c>
      <c r="H12" t="s">
        <v>69</v>
      </c>
      <c r="I12" t="s">
        <v>69</v>
      </c>
    </row>
    <row r="13" spans="2:10" ht="17">
      <c r="D13" s="32" t="s">
        <v>70</v>
      </c>
      <c r="E13" t="s">
        <v>70</v>
      </c>
      <c r="F13" s="1" t="s">
        <v>70</v>
      </c>
      <c r="H13" t="s">
        <v>71</v>
      </c>
      <c r="I13" t="s">
        <v>71</v>
      </c>
    </row>
    <row r="14" spans="2:10" ht="68">
      <c r="D14" s="32" t="s">
        <v>72</v>
      </c>
      <c r="E14" t="s">
        <v>72</v>
      </c>
      <c r="F14" s="1" t="s">
        <v>72</v>
      </c>
      <c r="H14" t="s">
        <v>73</v>
      </c>
      <c r="I14" t="s">
        <v>73</v>
      </c>
    </row>
    <row r="15" spans="2:10" ht="17">
      <c r="D15" s="32" t="s">
        <v>74</v>
      </c>
      <c r="E15" t="s">
        <v>74</v>
      </c>
      <c r="F15" s="1" t="s">
        <v>74</v>
      </c>
      <c r="I15" t="s">
        <v>75</v>
      </c>
    </row>
    <row r="16" spans="2:10" ht="17">
      <c r="D16" s="32" t="s">
        <v>76</v>
      </c>
      <c r="E16" t="s">
        <v>76</v>
      </c>
      <c r="F16" s="1" t="s">
        <v>76</v>
      </c>
      <c r="I16" t="s">
        <v>77</v>
      </c>
    </row>
    <row r="17" spans="4:9" ht="34">
      <c r="D17" s="32" t="s">
        <v>78</v>
      </c>
      <c r="E17" t="s">
        <v>78</v>
      </c>
      <c r="F17" s="1" t="s">
        <v>78</v>
      </c>
      <c r="G17" t="s">
        <v>79</v>
      </c>
      <c r="H17" t="s">
        <v>79</v>
      </c>
      <c r="I17" t="s">
        <v>79</v>
      </c>
    </row>
    <row r="18" spans="4:9" ht="34">
      <c r="D18" s="32" t="s">
        <v>80</v>
      </c>
      <c r="E18" t="s">
        <v>80</v>
      </c>
      <c r="F18" s="1" t="s">
        <v>80</v>
      </c>
      <c r="G18" t="s">
        <v>81</v>
      </c>
      <c r="H18" t="s">
        <v>81</v>
      </c>
      <c r="I18" t="s">
        <v>81</v>
      </c>
    </row>
    <row r="19" spans="4:9" ht="51">
      <c r="D19" s="32" t="s">
        <v>82</v>
      </c>
      <c r="E19" t="s">
        <v>82</v>
      </c>
      <c r="F19" s="1" t="s">
        <v>82</v>
      </c>
      <c r="G19" t="s">
        <v>83</v>
      </c>
      <c r="H19" t="s">
        <v>83</v>
      </c>
      <c r="I19" t="s">
        <v>83</v>
      </c>
    </row>
    <row r="20" spans="4:9" ht="34">
      <c r="D20" s="32" t="s">
        <v>84</v>
      </c>
      <c r="E20" t="s">
        <v>84</v>
      </c>
      <c r="F20" s="1" t="s">
        <v>84</v>
      </c>
    </row>
    <row r="21" spans="4:9" ht="34">
      <c r="D21" s="32" t="s">
        <v>85</v>
      </c>
      <c r="E21" t="s">
        <v>85</v>
      </c>
      <c r="F21" s="1" t="s">
        <v>85</v>
      </c>
    </row>
    <row r="22" spans="4:9" ht="17">
      <c r="D22" s="32" t="s">
        <v>86</v>
      </c>
      <c r="E22" t="s">
        <v>87</v>
      </c>
      <c r="F22" s="1" t="s">
        <v>87</v>
      </c>
    </row>
    <row r="23" spans="4:9" ht="34">
      <c r="D23" s="32" t="s">
        <v>88</v>
      </c>
      <c r="E23" t="s">
        <v>88</v>
      </c>
      <c r="F23" s="1" t="s">
        <v>88</v>
      </c>
    </row>
    <row r="24" spans="4:9" ht="51">
      <c r="D24" s="32" t="s">
        <v>89</v>
      </c>
      <c r="E24" t="s">
        <v>89</v>
      </c>
      <c r="F24" s="1" t="s">
        <v>89</v>
      </c>
    </row>
    <row r="25" spans="4:9" ht="17">
      <c r="D25" s="32" t="s">
        <v>90</v>
      </c>
      <c r="E25" t="s">
        <v>90</v>
      </c>
      <c r="F25" s="1" t="s">
        <v>90</v>
      </c>
    </row>
    <row r="26" spans="4:9" ht="17">
      <c r="D26" s="36"/>
      <c r="E26" t="s">
        <v>91</v>
      </c>
      <c r="F26" s="1" t="s">
        <v>91</v>
      </c>
    </row>
    <row r="27" spans="4:9" ht="34">
      <c r="E27" t="s">
        <v>92</v>
      </c>
      <c r="F27" s="1" t="s">
        <v>92</v>
      </c>
    </row>
    <row r="28" spans="4:9" ht="17">
      <c r="E28" t="s">
        <v>93</v>
      </c>
      <c r="F28" s="1" t="s">
        <v>93</v>
      </c>
    </row>
    <row r="29" spans="4:9" ht="17">
      <c r="D29" s="32" t="s">
        <v>94</v>
      </c>
      <c r="E29" t="s">
        <v>94</v>
      </c>
      <c r="F29" s="1" t="s">
        <v>94</v>
      </c>
    </row>
  </sheetData>
  <mergeCells count="3">
    <mergeCell ref="B2:C2"/>
    <mergeCell ref="D2:F2"/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E273-A954-49CA-B2E4-FAE6D089FBAD}">
  <dimension ref="A1:D14"/>
  <sheetViews>
    <sheetView tabSelected="1" workbookViewId="0">
      <selection activeCell="B21" sqref="B21"/>
    </sheetView>
  </sheetViews>
  <sheetFormatPr baseColWidth="10" defaultColWidth="8.83203125" defaultRowHeight="16"/>
  <cols>
    <col min="1" max="1" width="29.1640625" customWidth="1"/>
    <col min="2" max="3" width="61.5" customWidth="1"/>
    <col min="4" max="4" width="54.5" customWidth="1"/>
  </cols>
  <sheetData>
    <row r="1" spans="1:4" ht="17">
      <c r="A1" s="24" t="s">
        <v>95</v>
      </c>
      <c r="B1" s="24" t="s">
        <v>11</v>
      </c>
      <c r="C1" s="24" t="s">
        <v>21</v>
      </c>
      <c r="D1" s="24" t="s">
        <v>16</v>
      </c>
    </row>
    <row r="2" spans="1:4" ht="34">
      <c r="A2" s="23" t="s">
        <v>96</v>
      </c>
      <c r="B2" s="1" t="s">
        <v>97</v>
      </c>
      <c r="C2" s="1" t="s">
        <v>98</v>
      </c>
      <c r="D2" s="1" t="s">
        <v>99</v>
      </c>
    </row>
    <row r="3" spans="1:4" ht="34">
      <c r="A3" s="23" t="s">
        <v>100</v>
      </c>
      <c r="B3" s="1" t="s">
        <v>101</v>
      </c>
      <c r="C3" s="1" t="s">
        <v>102</v>
      </c>
      <c r="D3" s="1" t="s">
        <v>103</v>
      </c>
    </row>
    <row r="4" spans="1:4" ht="17">
      <c r="A4" s="23" t="s">
        <v>104</v>
      </c>
      <c r="B4" s="1" t="s">
        <v>105</v>
      </c>
      <c r="C4" s="1" t="s">
        <v>106</v>
      </c>
      <c r="D4" s="1" t="s">
        <v>107</v>
      </c>
    </row>
    <row r="5" spans="1:4" ht="34">
      <c r="A5" s="23" t="s">
        <v>108</v>
      </c>
      <c r="B5" s="1" t="s">
        <v>109</v>
      </c>
      <c r="C5" s="1" t="s">
        <v>110</v>
      </c>
      <c r="D5" s="1" t="s">
        <v>111</v>
      </c>
    </row>
    <row r="6" spans="1:4" ht="17">
      <c r="A6" s="23" t="s">
        <v>112</v>
      </c>
      <c r="B6" s="1" t="s">
        <v>113</v>
      </c>
      <c r="C6" s="1" t="s">
        <v>114</v>
      </c>
      <c r="D6" s="1" t="s">
        <v>115</v>
      </c>
    </row>
    <row r="7" spans="1:4" ht="34">
      <c r="A7" s="23" t="s">
        <v>116</v>
      </c>
      <c r="B7" s="1" t="s">
        <v>117</v>
      </c>
      <c r="C7" s="1" t="s">
        <v>118</v>
      </c>
      <c r="D7" s="1" t="s">
        <v>119</v>
      </c>
    </row>
    <row r="8" spans="1:4" ht="17">
      <c r="A8" s="23" t="s">
        <v>120</v>
      </c>
      <c r="B8" s="1" t="s">
        <v>121</v>
      </c>
      <c r="C8" s="1" t="s">
        <v>122</v>
      </c>
      <c r="D8" s="1" t="s">
        <v>123</v>
      </c>
    </row>
    <row r="9" spans="1:4" ht="34">
      <c r="A9" s="23" t="s">
        <v>124</v>
      </c>
      <c r="B9" s="1" t="s">
        <v>125</v>
      </c>
      <c r="C9" s="1" t="s">
        <v>126</v>
      </c>
      <c r="D9" s="1" t="s">
        <v>127</v>
      </c>
    </row>
    <row r="10" spans="1:4" ht="17">
      <c r="A10" s="23" t="s">
        <v>128</v>
      </c>
      <c r="B10" s="1" t="s">
        <v>129</v>
      </c>
      <c r="C10" s="1" t="s">
        <v>130</v>
      </c>
      <c r="D10" s="1" t="s">
        <v>131</v>
      </c>
    </row>
    <row r="11" spans="1:4" ht="17">
      <c r="A11" s="23" t="s">
        <v>132</v>
      </c>
      <c r="B11" s="1" t="s">
        <v>133</v>
      </c>
      <c r="C11" s="1" t="s">
        <v>134</v>
      </c>
      <c r="D11" s="1" t="s">
        <v>135</v>
      </c>
    </row>
    <row r="12" spans="1:4" ht="34">
      <c r="A12" s="23" t="s">
        <v>136</v>
      </c>
      <c r="B12" s="1" t="s">
        <v>137</v>
      </c>
      <c r="C12" s="1" t="s">
        <v>138</v>
      </c>
      <c r="D12" s="1" t="s">
        <v>139</v>
      </c>
    </row>
    <row r="13" spans="1:4" ht="17">
      <c r="A13" s="23" t="s">
        <v>140</v>
      </c>
      <c r="B13" s="1" t="s">
        <v>141</v>
      </c>
      <c r="C13" s="1" t="s">
        <v>142</v>
      </c>
      <c r="D13" s="1" t="s">
        <v>143</v>
      </c>
    </row>
    <row r="14" spans="1:4" ht="17">
      <c r="A14" s="23" t="s">
        <v>144</v>
      </c>
      <c r="B14" s="1" t="s">
        <v>145</v>
      </c>
      <c r="C14" s="1" t="s">
        <v>146</v>
      </c>
      <c r="D14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Products per plan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Bolatkhan, Zhansaya</dc:creator>
  <cp:keywords/>
  <dc:description/>
  <cp:lastModifiedBy>Bolatkhan Zhansaya</cp:lastModifiedBy>
  <cp:revision/>
  <dcterms:created xsi:type="dcterms:W3CDTF">2026-04-13T21:16:47Z</dcterms:created>
  <dcterms:modified xsi:type="dcterms:W3CDTF">2026-04-15T15:21:51Z</dcterms:modified>
  <cp:category/>
  <cp:contentStatus/>
</cp:coreProperties>
</file>