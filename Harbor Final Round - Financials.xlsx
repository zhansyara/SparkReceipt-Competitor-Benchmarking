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saya/Downloads/"/>
    </mc:Choice>
  </mc:AlternateContent>
  <xr:revisionPtr revIDLastSave="0" documentId="8_{9598331C-3CB3-CD46-B3BE-1388AEF4D7BF}" xr6:coauthVersionLast="47" xr6:coauthVersionMax="47" xr10:uidLastSave="{00000000-0000-0000-0000-000000000000}"/>
  <bookViews>
    <workbookView xWindow="380" yWindow="520" windowWidth="28040" windowHeight="16940" activeTab="1" xr2:uid="{209C4BBD-7636-214C-A23A-737B7C8923F3}"/>
  </bookViews>
  <sheets>
    <sheet name="Pricing" sheetId="3" r:id="rId1"/>
    <sheet name="Financial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6" l="1"/>
  <c r="K4" i="6"/>
  <c r="I4" i="6"/>
  <c r="H4" i="6"/>
  <c r="J4" i="6" s="1"/>
  <c r="N4" i="6"/>
  <c r="O4" i="6"/>
  <c r="P4" i="6" s="1"/>
  <c r="P5" i="6"/>
  <c r="M5" i="6"/>
  <c r="E7" i="3"/>
  <c r="E6" i="3"/>
  <c r="E5" i="3"/>
  <c r="E4" i="3"/>
  <c r="E3" i="3"/>
  <c r="E11" i="3"/>
  <c r="M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tc={AB81B743-83C7-594C-B2D8-A98A617A711E}</author>
  </authors>
  <commentList>
    <comment ref="J2" authorId="0" shapeId="0" xr:uid="{AB81B743-83C7-594C-B2D8-A98A617A711E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actively used technologies for its website. (Include  Mobile Non Scaleable Content, nginx, IPv6 and etc.)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tc={0DFB43A7-9172-9449-8CC3-68866B2D2804}</author>
  </authors>
  <commentList>
    <comment ref="G2" authorId="0" shapeId="0" xr:uid="{0DFB43A7-9172-9449-8CC3-68866B2D2804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actively used technologies for its website. (Include  Mobile Non Scaleable Content, nginx, IPv6 and etc.)</t>
      </text>
    </comment>
  </commentList>
</comments>
</file>

<file path=xl/sharedStrings.xml><?xml version="1.0" encoding="utf-8"?>
<sst xmlns="http://schemas.openxmlformats.org/spreadsheetml/2006/main" count="51" uniqueCount="37">
  <si>
    <t>SparkReceipt</t>
  </si>
  <si>
    <t>Company Name</t>
  </si>
  <si>
    <t>Pricing</t>
  </si>
  <si>
    <t>Positioning</t>
  </si>
  <si>
    <t>NoCFO</t>
  </si>
  <si>
    <t>Monthly Web Visits</t>
  </si>
  <si>
    <t>IT Spend</t>
  </si>
  <si>
    <t>Cnahge in web visits</t>
  </si>
  <si>
    <t>Xero</t>
  </si>
  <si>
    <t>Active Website Tech Count</t>
  </si>
  <si>
    <t>Products/Services</t>
  </si>
  <si>
    <t>AI Automated Accounting Software</t>
  </si>
  <si>
    <t>AI Pre-Accounting &amp; Expense Tracking Tool</t>
  </si>
  <si>
    <t xml:space="preserve">Full Accounting Software </t>
  </si>
  <si>
    <t>Starter</t>
  </si>
  <si>
    <t>Standard</t>
  </si>
  <si>
    <t>Premium</t>
  </si>
  <si>
    <t>Free</t>
  </si>
  <si>
    <t>Plus</t>
  </si>
  <si>
    <t>Pro</t>
  </si>
  <si>
    <t>Salary payments</t>
  </si>
  <si>
    <t>Sending and receiving invoices with e-invoicing</t>
  </si>
  <si>
    <t>Sending invoices with consumer e-invoicing</t>
  </si>
  <si>
    <t>Sending invoices on paper</t>
  </si>
  <si>
    <t>Elite</t>
  </si>
  <si>
    <t>EUR</t>
  </si>
  <si>
    <t>USD</t>
  </si>
  <si>
    <t>AUD</t>
  </si>
  <si>
    <t>Turnover2023</t>
  </si>
  <si>
    <t>Turnover2024</t>
  </si>
  <si>
    <t>TurnoverChange</t>
  </si>
  <si>
    <t>Profit2023</t>
  </si>
  <si>
    <t>Profit2024</t>
  </si>
  <si>
    <t>ProfitChange</t>
  </si>
  <si>
    <t>EBITDA2023</t>
  </si>
  <si>
    <t>EBITDA2024</t>
  </si>
  <si>
    <t>EBITDAChange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</si>
</sst>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£&quot;* #,##0.00_);_(&quot;£&quot;* \(#,##0.00\);_(&quot;£&quot;* &quot;-&quot;??_);_(@_)"/>
    <numFmt numFmtId="165" formatCode="_([$€-2]\ * #,##0.00_);_([$€-2]\ * \(#,##0.00\);_([$€-2]\ 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sz val="12"/>
      <color theme="1"/>
      <name val="Aptos Narrow"/>
      <scheme val="minor"/>
    </font>
    <font>
      <sz val="12"/>
      <color theme="0"/>
      <name val="Aptos Narrow"/>
      <scheme val="minor"/>
    </font>
    <font>
      <b/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165" fontId="4" fillId="2" borderId="0" xfId="1" applyNumberFormat="1" applyFont="1" applyFill="1" applyBorder="1"/>
    <xf numFmtId="165" fontId="4" fillId="2" borderId="0" xfId="0" applyNumberFormat="1" applyFont="1" applyFill="1"/>
    <xf numFmtId="10" fontId="4" fillId="2" borderId="0" xfId="2" applyNumberFormat="1" applyFont="1" applyFill="1" applyBorder="1"/>
    <xf numFmtId="165" fontId="4" fillId="2" borderId="0" xfId="0" applyNumberFormat="1" applyFont="1" applyFill="1" applyAlignment="1">
      <alignment horizontal="left" vertical="top" wrapText="1"/>
    </xf>
    <xf numFmtId="165" fontId="4" fillId="2" borderId="0" xfId="0" applyNumberFormat="1" applyFont="1" applyFill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wrapText="1"/>
    </xf>
    <xf numFmtId="0" fontId="5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2" fillId="3" borderId="1" xfId="0" applyFont="1" applyFill="1" applyBorder="1" applyAlignment="1"/>
    <xf numFmtId="165" fontId="4" fillId="2" borderId="0" xfId="1" applyNumberFormat="1" applyFont="1" applyFill="1" applyBorder="1" applyAlignment="1"/>
    <xf numFmtId="10" fontId="4" fillId="2" borderId="0" xfId="2" applyNumberFormat="1" applyFont="1" applyFill="1" applyBorder="1" applyAlignment="1"/>
    <xf numFmtId="0" fontId="0" fillId="2" borderId="0" xfId="0" applyFill="1" applyBorder="1"/>
    <xf numFmtId="0" fontId="2" fillId="2" borderId="0" xfId="0" applyFont="1" applyFill="1" applyBorder="1" applyAlignment="1"/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/>
    <xf numFmtId="10" fontId="4" fillId="2" borderId="0" xfId="0" applyNumberFormat="1" applyFont="1" applyFill="1" applyBorder="1" applyAlignment="1"/>
    <xf numFmtId="0" fontId="2" fillId="2" borderId="0" xfId="0" applyFont="1" applyFill="1" applyBorder="1" applyAlignment="1">
      <alignment horizontal="center"/>
    </xf>
    <xf numFmtId="0" fontId="4" fillId="2" borderId="0" xfId="0" applyFont="1" applyFill="1" applyBorder="1"/>
    <xf numFmtId="165" fontId="4" fillId="2" borderId="0" xfId="0" applyNumberFormat="1" applyFont="1" applyFill="1" applyBorder="1"/>
    <xf numFmtId="10" fontId="4" fillId="2" borderId="0" xfId="0" applyNumberFormat="1" applyFont="1" applyFill="1" applyBorder="1"/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165" fontId="4" fillId="2" borderId="0" xfId="0" applyNumberFormat="1" applyFont="1" applyFill="1" applyBorder="1" applyAlignment="1"/>
    <xf numFmtId="0" fontId="4" fillId="2" borderId="0" xfId="0" applyFont="1" applyFill="1" applyBorder="1" applyAlignment="1">
      <alignment vertical="top" wrapText="1"/>
    </xf>
    <xf numFmtId="9" fontId="4" fillId="2" borderId="0" xfId="0" applyNumberFormat="1" applyFont="1" applyFill="1" applyBorder="1"/>
    <xf numFmtId="1" fontId="4" fillId="2" borderId="0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10" fontId="4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center" vertical="center"/>
    </xf>
    <xf numFmtId="0" fontId="6" fillId="5" borderId="0" xfId="0" applyFont="1" applyFill="1" applyBorder="1"/>
    <xf numFmtId="0" fontId="4" fillId="2" borderId="0" xfId="0" applyFont="1" applyFill="1" applyBorder="1" applyAlignment="1">
      <alignment horizontal="center" vertical="top" wrapText="1"/>
    </xf>
    <xf numFmtId="1" fontId="4" fillId="2" borderId="0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10" fontId="4" fillId="2" borderId="0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center" vertical="center" wrapText="1"/>
    </xf>
    <xf numFmtId="0" fontId="6" fillId="6" borderId="1" xfId="0" applyFont="1" applyFill="1" applyBorder="1"/>
    <xf numFmtId="165" fontId="4" fillId="2" borderId="0" xfId="0" applyNumberFormat="1" applyFont="1" applyFill="1" applyBorder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gafarova Fairuza" id="{50A60EB9-47EB-3840-A7B9-3B259DB816A6}" userId="S::fairuza.jagafarova@aalto.fi::d8f946a5-5a96-47e6-bf9d-ba3f4c64fb7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4-14T12:53:46.85" personId="{50A60EB9-47EB-3840-A7B9-3B259DB816A6}" id="{AB81B743-83C7-594C-B2D8-A98A617A711E}">
    <text>Number of actively used technologies for its website. (Include  Mobile Non Scaleable Content, nginx, IPv6 and etc.)</text>
    <extLst>
      <x:ext xmlns:xltc2="http://schemas.microsoft.com/office/spreadsheetml/2020/threadedcomments2" uri="{F7C98A9C-CBB3-438F-8F68-D28B6AF4A901}">
        <xltc2:checksum>1875105245</xltc2:checksum>
        <xltc2:hyperlink startIndex="64" length="28" url="https://www.crunchbase.com/builtwith_technology/1dc07647-f8aa-40ce-9042-d5927c7045f2"/>
        <xltc2:hyperlink startIndex="94" length="5" url="https://www.crunchbase.com/builtwith_technology/406526b5-ad50-41bc-8a08-e53842442565"/>
        <xltc2:hyperlink startIndex="101" length="4" url="https://www.crunchbase.com/builtwith_technology/cf3e732d-2ada-4f4e-94af-faa2edb426d5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" dT="2026-04-14T12:53:46.85" personId="{50A60EB9-47EB-3840-A7B9-3B259DB816A6}" id="{0DFB43A7-9172-9449-8CC3-68866B2D2804}">
    <text>Number of actively used technologies for its website. (Include  Mobile Non Scaleable Content, nginx, IPv6 and etc.)</text>
    <extLst>
      <x:ext xmlns:xltc2="http://schemas.microsoft.com/office/spreadsheetml/2020/threadedcomments2" uri="{F7C98A9C-CBB3-438F-8F68-D28B6AF4A901}">
        <xltc2:checksum>1875105245</xltc2:checksum>
        <xltc2:hyperlink startIndex="64" length="28" url="https://www.crunchbase.com/builtwith_technology/1dc07647-f8aa-40ce-9042-d5927c7045f2"/>
        <xltc2:hyperlink startIndex="94" length="5" url="https://www.crunchbase.com/builtwith_technology/406526b5-ad50-41bc-8a08-e53842442565"/>
        <xltc2:hyperlink startIndex="101" length="4" url="https://www.crunchbase.com/builtwith_technology/cf3e732d-2ada-4f4e-94af-faa2edb426d5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DC84-A7F5-4470-8BB1-343FAC5C1EA0}">
  <dimension ref="C1:T21"/>
  <sheetViews>
    <sheetView workbookViewId="0">
      <selection activeCell="D19" sqref="D19"/>
    </sheetView>
  </sheetViews>
  <sheetFormatPr baseColWidth="10" defaultRowHeight="16" x14ac:dyDescent="0.2"/>
  <cols>
    <col min="1" max="2" width="10.83203125" style="3"/>
    <col min="3" max="3" width="18" style="3" customWidth="1"/>
    <col min="4" max="4" width="51" style="3" customWidth="1"/>
    <col min="5" max="5" width="23.6640625" style="3" customWidth="1"/>
    <col min="6" max="6" width="23.1640625" style="3" customWidth="1"/>
    <col min="7" max="7" width="17" style="3" bestFit="1" customWidth="1"/>
    <col min="8" max="8" width="16.1640625" style="3" customWidth="1"/>
    <col min="9" max="9" width="20" style="3" customWidth="1"/>
    <col min="10" max="10" width="25" style="3" customWidth="1"/>
    <col min="11" max="11" width="16.1640625" style="3" customWidth="1"/>
    <col min="12" max="12" width="18.5" style="3" customWidth="1"/>
    <col min="13" max="13" width="14.6640625" style="3" bestFit="1" customWidth="1"/>
    <col min="14" max="14" width="16.6640625" style="3" customWidth="1"/>
    <col min="15" max="15" width="16.1640625" style="3" customWidth="1"/>
    <col min="16" max="16" width="12.1640625" style="3" bestFit="1" customWidth="1"/>
    <col min="17" max="18" width="10.83203125" style="3"/>
    <col min="19" max="19" width="13.5" style="3" bestFit="1" customWidth="1"/>
    <col min="20" max="16384" width="10.83203125" style="3"/>
  </cols>
  <sheetData>
    <row r="1" spans="3:20" x14ac:dyDescent="0.2"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3:20" ht="17" thickBot="1" x14ac:dyDescent="0.25">
      <c r="C2" s="1" t="s">
        <v>1</v>
      </c>
      <c r="D2" s="1" t="s">
        <v>10</v>
      </c>
      <c r="E2" s="1" t="s">
        <v>2</v>
      </c>
      <c r="F2" s="24"/>
      <c r="G2" s="38"/>
      <c r="H2" s="38"/>
      <c r="I2" s="38"/>
      <c r="J2" s="38"/>
      <c r="K2" s="20"/>
      <c r="L2" s="20"/>
      <c r="M2" s="20"/>
      <c r="N2" s="20"/>
      <c r="O2" s="20"/>
      <c r="P2" s="20"/>
      <c r="Q2" s="20"/>
      <c r="R2" s="20"/>
      <c r="S2" s="39"/>
      <c r="T2" s="25"/>
    </row>
    <row r="3" spans="3:20" ht="18" customHeight="1" x14ac:dyDescent="0.2">
      <c r="C3" s="13" t="s">
        <v>0</v>
      </c>
      <c r="D3" s="4" t="s">
        <v>19</v>
      </c>
      <c r="E3" s="9">
        <f>6.58/$E$19</f>
        <v>5.5762711864406782</v>
      </c>
      <c r="F3" s="40"/>
      <c r="G3" s="41"/>
      <c r="H3" s="42"/>
      <c r="I3" s="43"/>
      <c r="J3" s="41"/>
      <c r="K3" s="24"/>
      <c r="L3" s="24"/>
      <c r="M3" s="24"/>
      <c r="N3" s="24"/>
      <c r="O3" s="24"/>
      <c r="P3" s="24"/>
      <c r="Q3" s="24"/>
      <c r="R3" s="24"/>
      <c r="S3" s="24"/>
      <c r="T3" s="25"/>
    </row>
    <row r="4" spans="3:20" x14ac:dyDescent="0.2">
      <c r="C4" s="13" t="s">
        <v>0</v>
      </c>
      <c r="D4" s="4" t="s">
        <v>24</v>
      </c>
      <c r="E4" s="9">
        <f>9.08/E19</f>
        <v>7.6949152542372889</v>
      </c>
      <c r="F4" s="40"/>
      <c r="G4" s="41"/>
      <c r="H4" s="42"/>
      <c r="I4" s="43"/>
      <c r="J4" s="41"/>
      <c r="K4" s="5"/>
      <c r="L4" s="5"/>
      <c r="M4" s="25"/>
      <c r="N4" s="26"/>
      <c r="O4" s="26"/>
      <c r="P4" s="25"/>
      <c r="Q4" s="25"/>
      <c r="R4" s="27"/>
      <c r="S4" s="25"/>
      <c r="T4" s="25"/>
    </row>
    <row r="5" spans="3:20" x14ac:dyDescent="0.2">
      <c r="C5" s="14" t="s">
        <v>8</v>
      </c>
      <c r="D5" s="4" t="s">
        <v>14</v>
      </c>
      <c r="E5" s="9">
        <f>5.8/E19</f>
        <v>4.9152542372881358</v>
      </c>
      <c r="F5" s="37"/>
      <c r="G5" s="33"/>
      <c r="H5" s="34"/>
      <c r="I5" s="35"/>
      <c r="J5" s="33"/>
      <c r="K5" s="5"/>
      <c r="L5" s="5"/>
      <c r="M5" s="25"/>
      <c r="N5" s="26"/>
      <c r="O5" s="26"/>
      <c r="P5" s="25"/>
      <c r="Q5" s="25"/>
      <c r="R5" s="27"/>
      <c r="S5" s="25"/>
      <c r="T5" s="25"/>
    </row>
    <row r="6" spans="3:20" x14ac:dyDescent="0.2">
      <c r="C6" s="14" t="s">
        <v>8</v>
      </c>
      <c r="D6" s="4" t="s">
        <v>15</v>
      </c>
      <c r="E6" s="8">
        <f>10/E19</f>
        <v>8.4745762711864412</v>
      </c>
      <c r="F6" s="44"/>
      <c r="G6" s="41"/>
      <c r="H6" s="42"/>
      <c r="I6" s="43"/>
      <c r="J6" s="41"/>
      <c r="K6" s="5"/>
      <c r="L6" s="5"/>
      <c r="M6" s="25"/>
      <c r="N6" s="26"/>
      <c r="O6" s="26"/>
      <c r="P6" s="25"/>
      <c r="Q6" s="25"/>
      <c r="R6" s="25"/>
      <c r="S6" s="25"/>
      <c r="T6" s="25"/>
    </row>
    <row r="7" spans="3:20" x14ac:dyDescent="0.2">
      <c r="C7" s="14" t="s">
        <v>8</v>
      </c>
      <c r="D7" s="4" t="s">
        <v>16</v>
      </c>
      <c r="E7" s="8">
        <f>15/E19</f>
        <v>12.711864406779661</v>
      </c>
      <c r="F7" s="44"/>
      <c r="G7" s="41"/>
      <c r="H7" s="42"/>
      <c r="I7" s="43"/>
      <c r="J7" s="41"/>
      <c r="K7" s="5"/>
      <c r="L7" s="5"/>
      <c r="M7" s="7"/>
      <c r="N7" s="26"/>
      <c r="O7" s="26"/>
      <c r="P7" s="7"/>
      <c r="Q7" s="7"/>
      <c r="R7" s="27"/>
      <c r="S7" s="27"/>
      <c r="T7" s="25"/>
    </row>
    <row r="8" spans="3:20" x14ac:dyDescent="0.2">
      <c r="C8" s="14" t="s">
        <v>4</v>
      </c>
      <c r="D8" s="4" t="s">
        <v>17</v>
      </c>
      <c r="E8" s="8">
        <v>0</v>
      </c>
      <c r="F8" s="44"/>
      <c r="G8" s="33"/>
      <c r="H8" s="34"/>
      <c r="I8" s="35"/>
      <c r="J8" s="33"/>
      <c r="K8" s="5"/>
      <c r="L8" s="5"/>
      <c r="M8" s="7"/>
      <c r="N8" s="26"/>
      <c r="O8" s="26"/>
      <c r="P8" s="7"/>
      <c r="Q8" s="7"/>
      <c r="R8" s="27"/>
      <c r="S8" s="27"/>
      <c r="T8" s="25"/>
    </row>
    <row r="9" spans="3:20" x14ac:dyDescent="0.2">
      <c r="C9" s="14" t="s">
        <v>4</v>
      </c>
      <c r="D9" s="4" t="s">
        <v>18</v>
      </c>
      <c r="E9" s="9">
        <v>24</v>
      </c>
      <c r="F9" s="37"/>
      <c r="G9" s="33"/>
      <c r="H9" s="34"/>
      <c r="I9" s="35"/>
      <c r="J9" s="33"/>
      <c r="K9" s="5"/>
      <c r="L9" s="5"/>
      <c r="M9" s="7"/>
      <c r="N9" s="26"/>
      <c r="O9" s="26"/>
      <c r="P9" s="7"/>
      <c r="Q9" s="7"/>
      <c r="R9" s="27"/>
      <c r="S9" s="27"/>
      <c r="T9" s="25"/>
    </row>
    <row r="10" spans="3:20" x14ac:dyDescent="0.2">
      <c r="C10" s="14" t="s">
        <v>4</v>
      </c>
      <c r="D10" s="4" t="s">
        <v>19</v>
      </c>
      <c r="E10" s="9">
        <v>48</v>
      </c>
      <c r="F10" s="37"/>
      <c r="G10" s="33"/>
      <c r="H10" s="34"/>
      <c r="I10" s="35"/>
      <c r="J10" s="33"/>
      <c r="K10" s="5"/>
      <c r="L10" s="5"/>
      <c r="M10" s="7"/>
      <c r="N10" s="26"/>
      <c r="O10" s="26"/>
      <c r="P10" s="7"/>
      <c r="Q10" s="7"/>
      <c r="R10" s="27"/>
      <c r="S10" s="27"/>
      <c r="T10" s="25"/>
    </row>
    <row r="11" spans="3:20" ht="17" x14ac:dyDescent="0.2">
      <c r="C11" s="14" t="s">
        <v>4</v>
      </c>
      <c r="D11" s="11" t="s">
        <v>20</v>
      </c>
      <c r="E11" s="6">
        <f>14</f>
        <v>14</v>
      </c>
      <c r="F11" s="37"/>
      <c r="G11" s="33"/>
      <c r="H11" s="46"/>
      <c r="I11" s="35"/>
      <c r="J11" s="33"/>
      <c r="K11" s="5"/>
      <c r="L11" s="5"/>
      <c r="M11" s="27"/>
      <c r="N11" s="26"/>
      <c r="O11" s="26"/>
      <c r="P11" s="7"/>
      <c r="Q11" s="27"/>
      <c r="R11" s="32"/>
      <c r="S11" s="27"/>
      <c r="T11" s="25"/>
    </row>
    <row r="12" spans="3:20" ht="17" x14ac:dyDescent="0.2">
      <c r="C12" s="15" t="s">
        <v>4</v>
      </c>
      <c r="D12" s="11" t="s">
        <v>21</v>
      </c>
      <c r="E12" s="6">
        <v>0.7</v>
      </c>
      <c r="F12" s="25"/>
      <c r="G12" s="26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3:20" ht="17" x14ac:dyDescent="0.2">
      <c r="C13" s="15" t="s">
        <v>4</v>
      </c>
      <c r="D13" s="11" t="s">
        <v>22</v>
      </c>
      <c r="E13" s="6">
        <v>0.7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3:20" ht="17" x14ac:dyDescent="0.2">
      <c r="C14" s="15" t="s">
        <v>4</v>
      </c>
      <c r="D14" s="11" t="s">
        <v>23</v>
      </c>
      <c r="E14" s="6">
        <v>2.9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3:20" x14ac:dyDescent="0.2">
      <c r="G15" s="10"/>
    </row>
    <row r="18" spans="3:7" x14ac:dyDescent="0.2">
      <c r="C18" s="12"/>
      <c r="D18" s="12" t="s">
        <v>25</v>
      </c>
      <c r="E18" s="12" t="s">
        <v>26</v>
      </c>
      <c r="F18" s="12" t="s">
        <v>27</v>
      </c>
      <c r="G18" s="12"/>
    </row>
    <row r="19" spans="3:7" x14ac:dyDescent="0.2">
      <c r="C19" s="12"/>
      <c r="D19" s="12"/>
      <c r="E19" s="12">
        <v>1.18</v>
      </c>
      <c r="F19" s="12">
        <v>1.65</v>
      </c>
      <c r="G19" s="12"/>
    </row>
    <row r="20" spans="3:7" x14ac:dyDescent="0.2">
      <c r="C20" s="12"/>
      <c r="D20" s="12"/>
      <c r="E20" s="12"/>
      <c r="F20" s="12"/>
    </row>
    <row r="21" spans="3:7" x14ac:dyDescent="0.2">
      <c r="C21" s="12"/>
      <c r="D21" s="12"/>
      <c r="E21" s="12"/>
      <c r="F21" s="12"/>
    </row>
  </sheetData>
  <mergeCells count="10">
    <mergeCell ref="F3:F4"/>
    <mergeCell ref="G3:G4"/>
    <mergeCell ref="G6:G7"/>
    <mergeCell ref="H3:H4"/>
    <mergeCell ref="J3:J4"/>
    <mergeCell ref="J6:J7"/>
    <mergeCell ref="H6:H7"/>
    <mergeCell ref="I3:I4"/>
    <mergeCell ref="I6:I7"/>
    <mergeCell ref="F6:F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AD77-415A-464A-804A-0FE3146DDF2F}">
  <dimension ref="B2:P12"/>
  <sheetViews>
    <sheetView tabSelected="1" zoomScale="50" workbookViewId="0">
      <selection activeCell="C10" sqref="C10"/>
    </sheetView>
  </sheetViews>
  <sheetFormatPr baseColWidth="10" defaultRowHeight="16" x14ac:dyDescent="0.2"/>
  <cols>
    <col min="1" max="1" width="10.83203125" style="19"/>
    <col min="2" max="2" width="25.1640625" style="19" customWidth="1"/>
    <col min="3" max="3" width="35.1640625" style="19" bestFit="1" customWidth="1"/>
    <col min="4" max="4" width="17" style="19" bestFit="1" customWidth="1"/>
    <col min="5" max="5" width="14.5" style="19" customWidth="1"/>
    <col min="6" max="6" width="18" style="19" bestFit="1" customWidth="1"/>
    <col min="7" max="7" width="23.33203125" style="19" bestFit="1" customWidth="1"/>
    <col min="8" max="8" width="15.6640625" style="19" customWidth="1"/>
    <col min="9" max="9" width="16.5" style="19" customWidth="1"/>
    <col min="10" max="10" width="14.5" style="19" bestFit="1" customWidth="1"/>
    <col min="11" max="11" width="12.5" style="19" bestFit="1" customWidth="1"/>
    <col min="12" max="12" width="13" style="19" customWidth="1"/>
    <col min="13" max="13" width="12.1640625" style="19" bestFit="1" customWidth="1"/>
    <col min="14" max="15" width="11.1640625" style="19" bestFit="1" customWidth="1"/>
    <col min="16" max="16" width="13.5" style="19" bestFit="1" customWidth="1"/>
    <col min="17" max="16384" width="10.83203125" style="19"/>
  </cols>
  <sheetData>
    <row r="2" spans="2:16" ht="17" thickBot="1" x14ac:dyDescent="0.25">
      <c r="B2" s="1" t="s">
        <v>1</v>
      </c>
      <c r="C2" s="1" t="s">
        <v>3</v>
      </c>
      <c r="D2" s="2" t="s">
        <v>5</v>
      </c>
      <c r="E2" s="2" t="s">
        <v>6</v>
      </c>
      <c r="F2" s="2" t="s">
        <v>7</v>
      </c>
      <c r="G2" s="2" t="s">
        <v>9</v>
      </c>
      <c r="H2" s="16" t="s">
        <v>28</v>
      </c>
      <c r="I2" s="16" t="s">
        <v>29</v>
      </c>
      <c r="J2" s="16" t="s">
        <v>30</v>
      </c>
      <c r="K2" s="16" t="s">
        <v>31</v>
      </c>
      <c r="L2" s="16" t="s">
        <v>32</v>
      </c>
      <c r="M2" s="16" t="s">
        <v>33</v>
      </c>
      <c r="N2" s="16" t="s">
        <v>34</v>
      </c>
      <c r="O2" s="16" t="s">
        <v>35</v>
      </c>
      <c r="P2" s="45" t="s">
        <v>36</v>
      </c>
    </row>
    <row r="3" spans="2:16" ht="17" customHeight="1" x14ac:dyDescent="0.2">
      <c r="B3" s="20" t="s">
        <v>0</v>
      </c>
      <c r="C3" s="31" t="s">
        <v>12</v>
      </c>
      <c r="D3" s="21">
        <v>46885</v>
      </c>
      <c r="E3" s="22"/>
      <c r="F3" s="23">
        <v>0.29010000000000002</v>
      </c>
      <c r="G3" s="21">
        <v>16</v>
      </c>
      <c r="H3" s="24"/>
      <c r="I3" s="5">
        <v>70000</v>
      </c>
      <c r="J3" s="25"/>
      <c r="K3" s="26"/>
      <c r="L3" s="26">
        <v>2000</v>
      </c>
      <c r="M3" s="25"/>
      <c r="N3" s="25"/>
      <c r="O3" s="27">
        <v>3.7999999999999999E-2</v>
      </c>
      <c r="P3" s="24"/>
    </row>
    <row r="4" spans="2:16" ht="17" x14ac:dyDescent="0.2">
      <c r="B4" s="28" t="s">
        <v>8</v>
      </c>
      <c r="C4" s="29" t="s">
        <v>13</v>
      </c>
      <c r="D4" s="21">
        <v>31700741</v>
      </c>
      <c r="E4" s="22"/>
      <c r="F4" s="23">
        <v>0.12139999999999999</v>
      </c>
      <c r="G4" s="21">
        <v>115</v>
      </c>
      <c r="H4" s="17">
        <f>1310384.72/1.65</f>
        <v>794172.55757575762</v>
      </c>
      <c r="I4" s="17">
        <f>1572119.07/1.65</f>
        <v>952799.4363636364</v>
      </c>
      <c r="J4" s="18">
        <f>(I4-H4)/H4</f>
        <v>0.19973855464370799</v>
      </c>
      <c r="K4" s="30">
        <f>-106273.52/1.65</f>
        <v>-64408.193939393946</v>
      </c>
      <c r="L4" s="30">
        <f>160205.49/1.65</f>
        <v>97094.236363636359</v>
      </c>
      <c r="M4" s="18">
        <f>(L4-K4)/-K4</f>
        <v>2.5074826730120536</v>
      </c>
      <c r="N4" s="18">
        <f>167895.72/1310384.72</f>
        <v>0.12812704348384038</v>
      </c>
      <c r="O4" s="23">
        <f>510979.73/1572119.07</f>
        <v>0.32502609996328075</v>
      </c>
      <c r="P4" s="23">
        <f>(O4-N4)/N4</f>
        <v>1.5367486139198525</v>
      </c>
    </row>
    <row r="5" spans="2:16" ht="17" x14ac:dyDescent="0.2">
      <c r="B5" s="28" t="s">
        <v>4</v>
      </c>
      <c r="C5" s="31" t="s">
        <v>11</v>
      </c>
      <c r="D5" s="21">
        <v>3850</v>
      </c>
      <c r="E5" s="30">
        <v>159100</v>
      </c>
      <c r="F5" s="23">
        <v>-0.58169999999999999</v>
      </c>
      <c r="G5" s="21">
        <v>28</v>
      </c>
      <c r="H5" s="5">
        <v>16000</v>
      </c>
      <c r="I5" s="5">
        <v>61000</v>
      </c>
      <c r="J5" s="27">
        <v>2.8130000000000002</v>
      </c>
      <c r="K5" s="26">
        <v>3000</v>
      </c>
      <c r="L5" s="26">
        <v>-68000</v>
      </c>
      <c r="M5" s="7">
        <f>(L5-K5)/K5</f>
        <v>-23.666666666666668</v>
      </c>
      <c r="N5" s="27">
        <v>0.19400000000000001</v>
      </c>
      <c r="O5" s="32">
        <v>-1.1000000000000001</v>
      </c>
      <c r="P5" s="27">
        <f>(O5-N5)/N5</f>
        <v>-6.6701030927835054</v>
      </c>
    </row>
    <row r="6" spans="2:16" ht="16" customHeight="1" x14ac:dyDescent="0.2">
      <c r="H6" s="17"/>
      <c r="I6" s="17"/>
      <c r="J6" s="22"/>
      <c r="K6" s="30"/>
      <c r="L6" s="30"/>
      <c r="M6" s="22"/>
      <c r="N6" s="22"/>
      <c r="O6" s="22"/>
      <c r="P6" s="22"/>
    </row>
    <row r="7" spans="2:16" x14ac:dyDescent="0.2">
      <c r="B7" s="28"/>
      <c r="C7" s="29"/>
      <c r="D7" s="21"/>
      <c r="E7" s="22"/>
      <c r="F7" s="23"/>
      <c r="G7" s="21"/>
    </row>
    <row r="8" spans="2:16" x14ac:dyDescent="0.2">
      <c r="B8" s="28"/>
      <c r="C8" s="29"/>
      <c r="D8" s="33"/>
      <c r="E8" s="34"/>
      <c r="F8" s="35"/>
      <c r="G8" s="33"/>
      <c r="H8" s="5"/>
      <c r="I8" s="5"/>
      <c r="J8" s="7"/>
      <c r="K8" s="26"/>
      <c r="L8" s="26"/>
      <c r="M8" s="7"/>
      <c r="N8" s="7"/>
      <c r="O8" s="27"/>
      <c r="P8" s="27"/>
    </row>
    <row r="9" spans="2:16" x14ac:dyDescent="0.2">
      <c r="B9" s="36"/>
      <c r="C9" s="37"/>
      <c r="D9" s="33"/>
      <c r="E9" s="34"/>
      <c r="F9" s="35"/>
      <c r="G9" s="33"/>
      <c r="H9" s="5"/>
      <c r="I9" s="5"/>
      <c r="J9" s="7"/>
      <c r="K9" s="26"/>
      <c r="L9" s="26"/>
      <c r="M9" s="7"/>
      <c r="N9" s="7"/>
      <c r="O9" s="27"/>
      <c r="P9" s="27"/>
    </row>
    <row r="10" spans="2:16" x14ac:dyDescent="0.2">
      <c r="C10" s="37"/>
      <c r="D10" s="33"/>
      <c r="E10" s="34"/>
      <c r="F10" s="35"/>
      <c r="G10" s="33"/>
      <c r="H10" s="5"/>
      <c r="I10" s="5"/>
      <c r="J10" s="7"/>
      <c r="K10" s="26"/>
      <c r="L10" s="26"/>
      <c r="M10" s="7"/>
      <c r="N10" s="7"/>
      <c r="O10" s="27"/>
      <c r="P10" s="27"/>
    </row>
    <row r="11" spans="2:16" ht="16" customHeight="1" x14ac:dyDescent="0.2">
      <c r="B11" s="28"/>
      <c r="H11" s="5"/>
      <c r="I11" s="5"/>
      <c r="J11" s="25"/>
      <c r="K11" s="26"/>
      <c r="L11" s="26"/>
      <c r="M11" s="25"/>
      <c r="N11" s="25"/>
      <c r="O11" s="25"/>
      <c r="P11" s="25"/>
    </row>
    <row r="12" spans="2:16" x14ac:dyDescent="0.2">
      <c r="C12" s="31"/>
      <c r="D12" s="21"/>
      <c r="E12" s="30"/>
      <c r="F12" s="23"/>
      <c r="G12" s="2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</vt:lpstr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Bolatkhan, Zhansaya</dc:creator>
  <cp:lastModifiedBy>Bolatkhan, Zhansaya</cp:lastModifiedBy>
  <dcterms:created xsi:type="dcterms:W3CDTF">2026-04-13T21:16:47Z</dcterms:created>
  <dcterms:modified xsi:type="dcterms:W3CDTF">2026-04-14T20:49:26Z</dcterms:modified>
</cp:coreProperties>
</file>